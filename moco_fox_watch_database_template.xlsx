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821bb6006347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ghtings" sheetId="1" r:id="R6950193c82af4c0f"/>
    <x:sheet xmlns:r="http://schemas.openxmlformats.org/officeDocument/2006/relationships" name="Lookups" sheetId="2" r:id="R266a07e0d5e84477"/>
    <x:sheet xmlns:r="http://schemas.openxmlformats.org/officeDocument/2006/relationships" name="Dashboard" sheetId="3" r:id="Ref903c6252574d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 hh:mm"/>
    <x:numFmt numFmtId="201" formatCode="yyyy-mm-dd"/>
    <x:numFmt numFmtId="202" formatCode="0.00000"/>
    <x:numFmt numFmtId="203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3"/>
      <x:color rgb="FF291A1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E7352F"/>
      </x:patternFill>
    </x:fill>
    <x:fill>
      <x:patternFill patternType="solid">
        <x:fgColor rgb="FF291A13"/>
      </x:patternFill>
    </x:fill>
    <x:fill>
      <x:patternFill patternType="solid">
        <x:fgColor rgb="FFFFF8ED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</x:cellXfs>
  <x:cellStyles count="1">
    <x:cellStyle name="Normal" xfId="0"/>
  </x:cellStyles>
  <x:dxfs count="2">
    <x:dxf>
      <x:font>
        <x:b/>
        <x:color rgb="FF8A6100"/>
      </x:font>
      <x:fill>
        <x:patternFill patternType="solid">
          <x:bgColor rgb="FFFFF3CD"/>
        </x:patternFill>
      </x:fill>
    </x:dxf>
    <x:dxf>
      <x:font>
        <x:b/>
        <x:color rgb="FF25633A"/>
      </x:font>
      <x:fill>
        <x:patternFill patternType="solid">
          <x:bgColor rgb="FFDFF4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25bb61ff51496d" /><Relationship Type="http://schemas.openxmlformats.org/officeDocument/2006/relationships/theme" Target="/xl/theme/theme1.xml" Id="R55e18d8245a24b2a" /><Relationship Type="http://schemas.openxmlformats.org/officeDocument/2006/relationships/sharedStrings" Target="/xl/sharedStrings.xml" Id="Rbff52d70d9a1478d" /><Relationship Type="http://schemas.openxmlformats.org/officeDocument/2006/relationships/worksheet" Target="/xl/worksheets/sheet1.xml" Id="R6950193c82af4c0f" /><Relationship Type="http://schemas.openxmlformats.org/officeDocument/2006/relationships/worksheet" Target="/xl/worksheets/sheet2.xml" Id="R266a07e0d5e84477" /><Relationship Type="http://schemas.openxmlformats.org/officeDocument/2006/relationships/worksheet" Target="/xl/worksheets/sheet3.xml" Id="Ref903c6252574d50" /></Relationships>
</file>

<file path=xl/tables/table1.xml><?xml version="1.0" encoding="utf-8"?>
<x:table xmlns:x="http://schemas.openxmlformats.org/spreadsheetml/2006/main" id="1" name="FoxSightingsTable" displayName="FoxSightingsTable" ref="A1:N200" headerRowCount="1">
  <x:tableColumns count="14">
    <x:tableColumn id="1" name="Timestamp"/>
    <x:tableColumn id="2" name="Approved"/>
    <x:tableColumn id="3" name="Sighting Date"/>
    <x:tableColumn id="4" name="Time of Day"/>
    <x:tableColumn id="5" name="Area"/>
    <x:tableColumn id="6" name="Approx Location"/>
    <x:tableColumn id="7" name="Latitude"/>
    <x:tableColumn id="8" name="Longitude"/>
    <x:tableColumn id="9" name="Behavior"/>
    <x:tableColumn id="10" name="Count"/>
    <x:tableColumn id="11" name="Notes"/>
    <x:tableColumn id="12" name="Photo URL"/>
    <x:tableColumn id="13" name="Reporter Email"/>
    <x:tableColumn id="14" name="Confiden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08ed500553d44da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14" hidden="0" customWidth="1"/>
    <x:col min="4" max="4" width="14" hidden="0" customWidth="1"/>
    <x:col min="5" max="5" width="18" hidden="0" customWidth="1"/>
    <x:col min="6" max="6" width="32" hidden="0" customWidth="1"/>
    <x:col min="7" max="7" width="13" hidden="0" customWidth="1"/>
    <x:col min="8" max="8" width="13" hidden="0" customWidth="1"/>
    <x:col min="9" max="9" width="18" hidden="0" customWidth="1"/>
    <x:col min="10" max="10" width="10" hidden="0" customWidth="1"/>
    <x:col min="11" max="11" width="42" hidden="0" customWidth="1"/>
    <x:col min="12" max="12" width="24" hidden="0" customWidth="1"/>
    <x:col min="13" max="13" width="26" hidden="0" customWidth="1"/>
    <x:col min="14" max="14" width="24" hidden="0" customWidth="1"/>
  </x:cols>
  <x:sheetData>
    <x:row r="1">
      <x:c r="A1" s="6" t="str">
        <x:v>Timestamp</x:v>
      </x:c>
      <x:c r="B1" s="6" t="str">
        <x:v>Approved</x:v>
      </x:c>
      <x:c r="C1" s="6" t="str">
        <x:v>Sighting Date</x:v>
      </x:c>
      <x:c r="D1" s="6" t="str">
        <x:v>Time of Day</x:v>
      </x:c>
      <x:c r="E1" s="6" t="str">
        <x:v>Area</x:v>
      </x:c>
      <x:c r="F1" s="6" t="str">
        <x:v>Approx Location</x:v>
      </x:c>
      <x:c r="G1" s="6" t="str">
        <x:v>Latitude</x:v>
      </x:c>
      <x:c r="H1" s="6" t="str">
        <x:v>Longitude</x:v>
      </x:c>
      <x:c r="I1" s="6" t="str">
        <x:v>Behavior</x:v>
      </x:c>
      <x:c r="J1" s="6" t="str">
        <x:v>Count</x:v>
      </x:c>
      <x:c r="K1" s="6" t="str">
        <x:v>Notes</x:v>
      </x:c>
      <x:c r="L1" s="6" t="str">
        <x:v>Photo URL</x:v>
      </x:c>
      <x:c r="M1" s="6" t="str">
        <x:v>Reporter Email</x:v>
      </x:c>
      <x:c r="N1" s="6" t="str">
        <x:v>Confidence</x:v>
      </x:c>
    </x:row>
    <x:row r="2">
      <x:c r="A2" s="14" t="n">
        <x:v>46184.82083333333</x:v>
      </x:c>
      <x:c r="B2" s="12" t="str">
        <x:v>Yes</x:v>
      </x:c>
      <x:c r="C2" s="18" t="n">
        <x:v>46184</x:v>
      </x:c>
      <x:c r="D2" s="12" t="str">
        <x:v>Evening</x:v>
      </x:c>
      <x:c r="E2" s="12" t="str">
        <x:v>Gaithersburg</x:v>
      </x:c>
      <x:c r="F2" s="12" t="str">
        <x:v>Seneca Creek State Park area</x:v>
      </x:c>
      <x:c r="G2" s="22" t="n">
        <x:v>39.1419</x:v>
      </x:c>
      <x:c r="H2" s="22" t="n">
        <x:v>-77.246</x:v>
      </x:c>
      <x:c r="I2" s="12" t="str">
        <x:v>Walking</x:v>
      </x:c>
      <x:c r="J2" s="26" t="n">
        <x:v>1</x:v>
      </x:c>
      <x:c r="K2" s="12" t="str">
        <x:v>Seen near trail edge around dusk. Stayed away from people.</x:v>
      </x:c>
      <x:c r="L2" s="12" t="str"/>
      <x:c r="M2" s="12" t="str"/>
      <x:c r="N2" s="12" t="str">
        <x:v>Demo / community report</x:v>
      </x:c>
    </x:row>
    <x:row r="3">
      <x:c r="A3" s="14" t="n">
        <x:v>46183.34583333333</x:v>
      </x:c>
      <x:c r="B3" s="12" t="str">
        <x:v>Yes</x:v>
      </x:c>
      <x:c r="C3" s="18" t="n">
        <x:v>46183</x:v>
      </x:c>
      <x:c r="D3" s="12" t="str">
        <x:v>Morning</x:v>
      </x:c>
      <x:c r="E3" s="12" t="str">
        <x:v>Rockville</x:v>
      </x:c>
      <x:c r="F3" s="12" t="str">
        <x:v>Rock Creek Trail corridor</x:v>
      </x:c>
      <x:c r="G3" s="22" t="n">
        <x:v>39.0839</x:v>
      </x:c>
      <x:c r="H3" s="22" t="n">
        <x:v>-77.1375</x:v>
      </x:c>
      <x:c r="I3" s="12" t="str">
        <x:v>Crossing road</x:v>
      </x:c>
      <x:c r="J3" s="26" t="n">
        <x:v>1</x:v>
      </x:c>
      <x:c r="K3" s="12" t="str">
        <x:v>Crossed quickly and disappeared into wooded area.</x:v>
      </x:c>
      <x:c r="L3" s="12" t="str"/>
      <x:c r="M3" s="12" t="str"/>
      <x:c r="N3" s="12" t="str">
        <x:v>Demo / community report</x:v>
      </x:c>
    </x:row>
    <x:row r="4">
      <x:c r="A4" s="14" t="n">
        <x:v>46181.92361111111</x:v>
      </x:c>
      <x:c r="B4" s="12" t="str">
        <x:v>Yes</x:v>
      </x:c>
      <x:c r="C4" s="18" t="n">
        <x:v>46181</x:v>
      </x:c>
      <x:c r="D4" s="12" t="str">
        <x:v>Night</x:v>
      </x:c>
      <x:c r="E4" s="12" t="str">
        <x:v>Silver Spring</x:v>
      </x:c>
      <x:c r="F4" s="12" t="str">
        <x:v>Sligo Creek Trail area</x:v>
      </x:c>
      <x:c r="G4" s="22" t="n">
        <x:v>39.0066</x:v>
      </x:c>
      <x:c r="H4" s="22" t="n">
        <x:v>-77.027</x:v>
      </x:c>
      <x:c r="I4" s="12" t="str">
        <x:v>Hunting</x:v>
      </x:c>
      <x:c r="J4" s="26" t="n">
        <x:v>1</x:v>
      </x:c>
      <x:c r="K4" s="12" t="str">
        <x:v>Observed from distance. No interaction.</x:v>
      </x:c>
      <x:c r="L4" s="12" t="str"/>
      <x:c r="M4" s="12" t="str"/>
      <x:c r="N4" s="12" t="str">
        <x:v>Demo / community report</x:v>
      </x:c>
    </x:row>
    <x:row r="5">
      <x:c r="A5" s="14" t="n">
        <x:v>46178.64236111111</x:v>
      </x:c>
      <x:c r="B5" s="12" t="str">
        <x:v>Yes</x:v>
      </x:c>
      <x:c r="C5" s="18" t="n">
        <x:v>46178</x:v>
      </x:c>
      <x:c r="D5" s="12" t="str">
        <x:v>Afternoon</x:v>
      </x:c>
      <x:c r="E5" s="12" t="str">
        <x:v>Bethesda</x:v>
      </x:c>
      <x:c r="F5" s="12" t="str">
        <x:v>Cabin John Trail vicinity</x:v>
      </x:c>
      <x:c r="G5" s="22" t="n">
        <x:v>38.9884</x:v>
      </x:c>
      <x:c r="H5" s="22" t="n">
        <x:v>-77.155</x:v>
      </x:c>
      <x:c r="I5" s="12" t="str">
        <x:v>With pups</x:v>
      </x:c>
      <x:c r="J5" s="26" t="n">
        <x:v>3</x:v>
      </x:c>
      <x:c r="K5" s="12" t="str">
        <x:v>Approximate area only. Do not approach possible den sites.</x:v>
      </x:c>
      <x:c r="L5" s="12" t="str"/>
      <x:c r="M5" s="12" t="str"/>
      <x:c r="N5" s="12" t="str">
        <x:v>Demo / community report</x:v>
      </x:c>
    </x:row>
    <x:row r="6">
      <x:c r="A6" s="14" t="n">
        <x:v>46176.78472222222</x:v>
      </x:c>
      <x:c r="B6" s="12" t="str">
        <x:v>Yes</x:v>
      </x:c>
      <x:c r="C6" s="18" t="n">
        <x:v>46176</x:v>
      </x:c>
      <x:c r="D6" s="12" t="str">
        <x:v>Evening</x:v>
      </x:c>
      <x:c r="E6" s="12" t="str">
        <x:v>Olney</x:v>
      </x:c>
      <x:c r="F6" s="12" t="str">
        <x:v>Neighborhood greenway near woods</x:v>
      </x:c>
      <x:c r="G6" s="22" t="n">
        <x:v>39.1532</x:v>
      </x:c>
      <x:c r="H6" s="22" t="n">
        <x:v>-77.0669</x:v>
      </x:c>
      <x:c r="I6" s="12" t="str">
        <x:v>Carrying food</x:v>
      </x:c>
      <x:c r="J6" s="26" t="n">
        <x:v>1</x:v>
      </x:c>
      <x:c r="K6" s="12" t="str">
        <x:v>Moved through wooded edge.</x:v>
      </x:c>
      <x:c r="L6" s="12" t="str"/>
      <x:c r="M6" s="12" t="str"/>
      <x:c r="N6" s="12" t="str">
        <x:v>Demo / community report</x:v>
      </x:c>
    </x:row>
    <x:row r="7">
      <x:c r="A7" s="14" t="n">
        <x:v>46190.5</x:v>
      </x:c>
      <x:c r="B7" s="12" t="str">
        <x:v>No</x:v>
      </x:c>
      <x:c r="C7" s="18" t="n">
        <x:v>46190</x:v>
      </x:c>
      <x:c r="D7" s="12" t="str">
        <x:v>Evening</x:v>
      </x:c>
      <x:c r="E7" s="12" t="str">
        <x:v>Germantown</x:v>
      </x:c>
      <x:c r="F7" s="12" t="str">
        <x:v>Approximate neighborhood green space</x:v>
      </x:c>
      <x:c r="G7" s="22" t="n">
        <x:v>39.1732</x:v>
      </x:c>
      <x:c r="H7" s="22" t="n">
        <x:v>-77.2717</x:v>
      </x:c>
      <x:c r="I7" s="12" t="str">
        <x:v>Walking</x:v>
      </x:c>
      <x:c r="J7" s="26" t="n">
        <x:v>1</x:v>
      </x:c>
      <x:c r="K7" s="12" t="str">
        <x:v>Pending example; moderator changes Approved to Yes before it appears.</x:v>
      </x:c>
      <x:c r="L7" s="12" t="str"/>
      <x:c r="M7" s="12" t="str">
        <x:v>private@example.com</x:v>
      </x:c>
      <x:c r="N7" s="12" t="str">
        <x:v>Pending community report</x:v>
      </x:c>
    </x:row>
    <x:row r="8">
      <x:c r="A8" s="15"/>
      <x:c r="C8" s="19"/>
      <x:c r="G8" s="23"/>
      <x:c r="H8" s="23"/>
      <x:c r="J8" s="27"/>
    </x:row>
    <x:row r="9">
      <x:c r="A9" s="15"/>
      <x:c r="C9" s="19"/>
      <x:c r="G9" s="23"/>
      <x:c r="H9" s="23"/>
      <x:c r="J9" s="27"/>
    </x:row>
    <x:row r="10">
      <x:c r="A10" s="15"/>
      <x:c r="C10" s="19"/>
      <x:c r="G10" s="23"/>
      <x:c r="H10" s="23"/>
      <x:c r="J10" s="27"/>
    </x:row>
    <x:row r="11">
      <x:c r="A11" s="15"/>
      <x:c r="C11" s="19"/>
      <x:c r="G11" s="23"/>
      <x:c r="H11" s="23"/>
      <x:c r="J11" s="27"/>
    </x:row>
    <x:row r="12">
      <x:c r="A12" s="15"/>
      <x:c r="C12" s="19"/>
      <x:c r="G12" s="23"/>
      <x:c r="H12" s="23"/>
      <x:c r="J12" s="27"/>
    </x:row>
    <x:row r="13">
      <x:c r="A13" s="15"/>
      <x:c r="C13" s="19"/>
      <x:c r="G13" s="23"/>
      <x:c r="H13" s="23"/>
      <x:c r="J13" s="27"/>
    </x:row>
    <x:row r="14">
      <x:c r="A14" s="15"/>
      <x:c r="C14" s="19"/>
      <x:c r="G14" s="23"/>
      <x:c r="H14" s="23"/>
      <x:c r="J14" s="27"/>
    </x:row>
    <x:row r="15">
      <x:c r="A15" s="15"/>
      <x:c r="C15" s="19"/>
      <x:c r="G15" s="23"/>
      <x:c r="H15" s="23"/>
      <x:c r="J15" s="27"/>
    </x:row>
    <x:row r="16">
      <x:c r="A16" s="15"/>
      <x:c r="C16" s="19"/>
      <x:c r="G16" s="23"/>
      <x:c r="H16" s="23"/>
      <x:c r="J16" s="27"/>
    </x:row>
    <x:row r="17">
      <x:c r="A17" s="15"/>
      <x:c r="C17" s="19"/>
      <x:c r="G17" s="23"/>
      <x:c r="H17" s="23"/>
      <x:c r="J17" s="27"/>
    </x:row>
    <x:row r="18">
      <x:c r="A18" s="15"/>
      <x:c r="C18" s="19"/>
      <x:c r="G18" s="23"/>
      <x:c r="H18" s="23"/>
      <x:c r="J18" s="27"/>
    </x:row>
    <x:row r="19">
      <x:c r="A19" s="15"/>
      <x:c r="C19" s="19"/>
      <x:c r="G19" s="23"/>
      <x:c r="H19" s="23"/>
      <x:c r="J19" s="27"/>
    </x:row>
    <x:row r="20">
      <x:c r="A20" s="15"/>
      <x:c r="C20" s="19"/>
      <x:c r="G20" s="23"/>
      <x:c r="H20" s="23"/>
      <x:c r="J20" s="27"/>
    </x:row>
    <x:row r="21">
      <x:c r="A21" s="15"/>
      <x:c r="C21" s="19"/>
      <x:c r="G21" s="23"/>
      <x:c r="H21" s="23"/>
      <x:c r="J21" s="27"/>
    </x:row>
    <x:row r="22">
      <x:c r="A22" s="15"/>
      <x:c r="C22" s="19"/>
      <x:c r="G22" s="23"/>
      <x:c r="H22" s="23"/>
      <x:c r="J22" s="27"/>
    </x:row>
    <x:row r="23">
      <x:c r="A23" s="15"/>
      <x:c r="C23" s="19"/>
      <x:c r="G23" s="23"/>
      <x:c r="H23" s="23"/>
      <x:c r="J23" s="27"/>
    </x:row>
    <x:row r="24">
      <x:c r="A24" s="15"/>
      <x:c r="C24" s="19"/>
      <x:c r="G24" s="23"/>
      <x:c r="H24" s="23"/>
      <x:c r="J24" s="27"/>
    </x:row>
    <x:row r="25">
      <x:c r="A25" s="15"/>
      <x:c r="C25" s="19"/>
      <x:c r="G25" s="23"/>
      <x:c r="H25" s="23"/>
      <x:c r="J25" s="27"/>
    </x:row>
    <x:row r="26">
      <x:c r="A26" s="15"/>
      <x:c r="C26" s="19"/>
      <x:c r="G26" s="23"/>
      <x:c r="H26" s="23"/>
      <x:c r="J26" s="27"/>
    </x:row>
    <x:row r="27">
      <x:c r="A27" s="15"/>
      <x:c r="C27" s="19"/>
      <x:c r="G27" s="23"/>
      <x:c r="H27" s="23"/>
      <x:c r="J27" s="27"/>
    </x:row>
    <x:row r="28">
      <x:c r="A28" s="15"/>
      <x:c r="C28" s="19"/>
      <x:c r="G28" s="23"/>
      <x:c r="H28" s="23"/>
      <x:c r="J28" s="27"/>
    </x:row>
    <x:row r="29">
      <x:c r="A29" s="15"/>
      <x:c r="C29" s="19"/>
      <x:c r="G29" s="23"/>
      <x:c r="H29" s="23"/>
      <x:c r="J29" s="27"/>
    </x:row>
    <x:row r="30">
      <x:c r="A30" s="15"/>
      <x:c r="C30" s="19"/>
      <x:c r="G30" s="23"/>
      <x:c r="H30" s="23"/>
      <x:c r="J30" s="27"/>
    </x:row>
    <x:row r="31">
      <x:c r="A31" s="15"/>
      <x:c r="C31" s="19"/>
      <x:c r="G31" s="23"/>
      <x:c r="H31" s="23"/>
      <x:c r="J31" s="27"/>
    </x:row>
    <x:row r="32">
      <x:c r="A32" s="15"/>
      <x:c r="C32" s="19"/>
      <x:c r="G32" s="23"/>
      <x:c r="H32" s="23"/>
      <x:c r="J32" s="27"/>
    </x:row>
    <x:row r="33">
      <x:c r="A33" s="15"/>
      <x:c r="C33" s="19"/>
      <x:c r="G33" s="23"/>
      <x:c r="H33" s="23"/>
      <x:c r="J33" s="27"/>
    </x:row>
    <x:row r="34">
      <x:c r="A34" s="15"/>
      <x:c r="C34" s="19"/>
      <x:c r="G34" s="23"/>
      <x:c r="H34" s="23"/>
      <x:c r="J34" s="27"/>
    </x:row>
    <x:row r="35">
      <x:c r="A35" s="15"/>
      <x:c r="C35" s="19"/>
      <x:c r="G35" s="23"/>
      <x:c r="H35" s="23"/>
      <x:c r="J35" s="27"/>
    </x:row>
    <x:row r="36">
      <x:c r="A36" s="15"/>
      <x:c r="C36" s="19"/>
      <x:c r="G36" s="23"/>
      <x:c r="H36" s="23"/>
      <x:c r="J36" s="27"/>
    </x:row>
    <x:row r="37">
      <x:c r="A37" s="15"/>
      <x:c r="C37" s="19"/>
      <x:c r="G37" s="23"/>
      <x:c r="H37" s="23"/>
      <x:c r="J37" s="27"/>
    </x:row>
    <x:row r="38">
      <x:c r="A38" s="15"/>
      <x:c r="C38" s="19"/>
      <x:c r="G38" s="23"/>
      <x:c r="H38" s="23"/>
      <x:c r="J38" s="27"/>
    </x:row>
    <x:row r="39">
      <x:c r="A39" s="15"/>
      <x:c r="C39" s="19"/>
      <x:c r="G39" s="23"/>
      <x:c r="H39" s="23"/>
      <x:c r="J39" s="27"/>
    </x:row>
    <x:row r="40">
      <x:c r="A40" s="15"/>
      <x:c r="C40" s="19"/>
      <x:c r="G40" s="23"/>
      <x:c r="H40" s="23"/>
      <x:c r="J40" s="27"/>
    </x:row>
    <x:row r="41">
      <x:c r="A41" s="15"/>
      <x:c r="C41" s="19"/>
      <x:c r="G41" s="23"/>
      <x:c r="H41" s="23"/>
      <x:c r="J41" s="27"/>
    </x:row>
    <x:row r="42">
      <x:c r="A42" s="15"/>
      <x:c r="C42" s="19"/>
      <x:c r="G42" s="23"/>
      <x:c r="H42" s="23"/>
      <x:c r="J42" s="27"/>
    </x:row>
    <x:row r="43">
      <x:c r="A43" s="15"/>
      <x:c r="C43" s="19"/>
      <x:c r="G43" s="23"/>
      <x:c r="H43" s="23"/>
      <x:c r="J43" s="27"/>
    </x:row>
    <x:row r="44">
      <x:c r="A44" s="15"/>
      <x:c r="C44" s="19"/>
      <x:c r="G44" s="23"/>
      <x:c r="H44" s="23"/>
      <x:c r="J44" s="27"/>
    </x:row>
    <x:row r="45">
      <x:c r="A45" s="15"/>
      <x:c r="C45" s="19"/>
      <x:c r="G45" s="23"/>
      <x:c r="H45" s="23"/>
      <x:c r="J45" s="27"/>
    </x:row>
    <x:row r="46">
      <x:c r="A46" s="15"/>
      <x:c r="C46" s="19"/>
      <x:c r="G46" s="23"/>
      <x:c r="H46" s="23"/>
      <x:c r="J46" s="27"/>
    </x:row>
    <x:row r="47">
      <x:c r="A47" s="15"/>
      <x:c r="C47" s="19"/>
      <x:c r="G47" s="23"/>
      <x:c r="H47" s="23"/>
      <x:c r="J47" s="27"/>
    </x:row>
    <x:row r="48">
      <x:c r="A48" s="15"/>
      <x:c r="C48" s="19"/>
      <x:c r="G48" s="23"/>
      <x:c r="H48" s="23"/>
      <x:c r="J48" s="27"/>
    </x:row>
    <x:row r="49">
      <x:c r="A49" s="15"/>
      <x:c r="C49" s="19"/>
      <x:c r="G49" s="23"/>
      <x:c r="H49" s="23"/>
      <x:c r="J49" s="27"/>
    </x:row>
    <x:row r="50">
      <x:c r="A50" s="15"/>
      <x:c r="C50" s="19"/>
      <x:c r="G50" s="23"/>
      <x:c r="H50" s="23"/>
      <x:c r="J50" s="27"/>
    </x:row>
    <x:row r="51">
      <x:c r="A51" s="15"/>
      <x:c r="C51" s="19"/>
      <x:c r="G51" s="23"/>
      <x:c r="H51" s="23"/>
      <x:c r="J51" s="27"/>
    </x:row>
    <x:row r="52">
      <x:c r="A52" s="15"/>
      <x:c r="C52" s="19"/>
      <x:c r="G52" s="23"/>
      <x:c r="H52" s="23"/>
      <x:c r="J52" s="27"/>
    </x:row>
    <x:row r="53">
      <x:c r="A53" s="15"/>
      <x:c r="C53" s="19"/>
      <x:c r="G53" s="23"/>
      <x:c r="H53" s="23"/>
      <x:c r="J53" s="27"/>
    </x:row>
    <x:row r="54">
      <x:c r="A54" s="15"/>
      <x:c r="C54" s="19"/>
      <x:c r="G54" s="23"/>
      <x:c r="H54" s="23"/>
      <x:c r="J54" s="27"/>
    </x:row>
    <x:row r="55">
      <x:c r="A55" s="15"/>
      <x:c r="C55" s="19"/>
      <x:c r="G55" s="23"/>
      <x:c r="H55" s="23"/>
      <x:c r="J55" s="27"/>
    </x:row>
    <x:row r="56">
      <x:c r="A56" s="15"/>
      <x:c r="C56" s="19"/>
      <x:c r="G56" s="23"/>
      <x:c r="H56" s="23"/>
      <x:c r="J56" s="27"/>
    </x:row>
    <x:row r="57">
      <x:c r="A57" s="15"/>
      <x:c r="C57" s="19"/>
      <x:c r="G57" s="23"/>
      <x:c r="H57" s="23"/>
      <x:c r="J57" s="27"/>
    </x:row>
    <x:row r="58">
      <x:c r="A58" s="15"/>
      <x:c r="C58" s="19"/>
      <x:c r="G58" s="23"/>
      <x:c r="H58" s="23"/>
      <x:c r="J58" s="27"/>
    </x:row>
    <x:row r="59">
      <x:c r="A59" s="15"/>
      <x:c r="C59" s="19"/>
      <x:c r="G59" s="23"/>
      <x:c r="H59" s="23"/>
      <x:c r="J59" s="27"/>
    </x:row>
    <x:row r="60">
      <x:c r="A60" s="15"/>
      <x:c r="C60" s="19"/>
      <x:c r="G60" s="23"/>
      <x:c r="H60" s="23"/>
      <x:c r="J60" s="27"/>
    </x:row>
    <x:row r="61">
      <x:c r="A61" s="15"/>
      <x:c r="C61" s="19"/>
      <x:c r="G61" s="23"/>
      <x:c r="H61" s="23"/>
      <x:c r="J61" s="27"/>
    </x:row>
    <x:row r="62">
      <x:c r="A62" s="15"/>
      <x:c r="C62" s="19"/>
      <x:c r="G62" s="23"/>
      <x:c r="H62" s="23"/>
      <x:c r="J62" s="27"/>
    </x:row>
    <x:row r="63">
      <x:c r="A63" s="15"/>
      <x:c r="C63" s="19"/>
      <x:c r="G63" s="23"/>
      <x:c r="H63" s="23"/>
      <x:c r="J63" s="27"/>
    </x:row>
    <x:row r="64">
      <x:c r="A64" s="15"/>
      <x:c r="C64" s="19"/>
      <x:c r="G64" s="23"/>
      <x:c r="H64" s="23"/>
      <x:c r="J64" s="27"/>
    </x:row>
    <x:row r="65">
      <x:c r="A65" s="15"/>
      <x:c r="C65" s="19"/>
      <x:c r="G65" s="23"/>
      <x:c r="H65" s="23"/>
      <x:c r="J65" s="27"/>
    </x:row>
    <x:row r="66">
      <x:c r="A66" s="15"/>
      <x:c r="C66" s="19"/>
      <x:c r="G66" s="23"/>
      <x:c r="H66" s="23"/>
      <x:c r="J66" s="27"/>
    </x:row>
    <x:row r="67">
      <x:c r="A67" s="15"/>
      <x:c r="C67" s="19"/>
      <x:c r="G67" s="23"/>
      <x:c r="H67" s="23"/>
      <x:c r="J67" s="27"/>
    </x:row>
    <x:row r="68">
      <x:c r="A68" s="15"/>
      <x:c r="C68" s="19"/>
      <x:c r="G68" s="23"/>
      <x:c r="H68" s="23"/>
      <x:c r="J68" s="27"/>
    </x:row>
    <x:row r="69">
      <x:c r="A69" s="15"/>
      <x:c r="C69" s="19"/>
      <x:c r="G69" s="23"/>
      <x:c r="H69" s="23"/>
      <x:c r="J69" s="27"/>
    </x:row>
    <x:row r="70">
      <x:c r="A70" s="15"/>
      <x:c r="C70" s="19"/>
      <x:c r="G70" s="23"/>
      <x:c r="H70" s="23"/>
      <x:c r="J70" s="27"/>
    </x:row>
    <x:row r="71">
      <x:c r="A71" s="15"/>
      <x:c r="C71" s="19"/>
      <x:c r="G71" s="23"/>
      <x:c r="H71" s="23"/>
      <x:c r="J71" s="27"/>
    </x:row>
    <x:row r="72">
      <x:c r="A72" s="15"/>
      <x:c r="C72" s="19"/>
      <x:c r="G72" s="23"/>
      <x:c r="H72" s="23"/>
      <x:c r="J72" s="27"/>
    </x:row>
    <x:row r="73">
      <x:c r="A73" s="15"/>
      <x:c r="C73" s="19"/>
      <x:c r="G73" s="23"/>
      <x:c r="H73" s="23"/>
      <x:c r="J73" s="27"/>
    </x:row>
    <x:row r="74">
      <x:c r="A74" s="15"/>
      <x:c r="C74" s="19"/>
      <x:c r="G74" s="23"/>
      <x:c r="H74" s="23"/>
      <x:c r="J74" s="27"/>
    </x:row>
    <x:row r="75">
      <x:c r="A75" s="15"/>
      <x:c r="C75" s="19"/>
      <x:c r="G75" s="23"/>
      <x:c r="H75" s="23"/>
      <x:c r="J75" s="27"/>
    </x:row>
    <x:row r="76">
      <x:c r="A76" s="15"/>
      <x:c r="C76" s="19"/>
      <x:c r="G76" s="23"/>
      <x:c r="H76" s="23"/>
      <x:c r="J76" s="27"/>
    </x:row>
    <x:row r="77">
      <x:c r="A77" s="15"/>
      <x:c r="C77" s="19"/>
      <x:c r="G77" s="23"/>
      <x:c r="H77" s="23"/>
      <x:c r="J77" s="27"/>
    </x:row>
    <x:row r="78">
      <x:c r="A78" s="15"/>
      <x:c r="C78" s="19"/>
      <x:c r="G78" s="23"/>
      <x:c r="H78" s="23"/>
      <x:c r="J78" s="27"/>
    </x:row>
    <x:row r="79">
      <x:c r="A79" s="15"/>
      <x:c r="C79" s="19"/>
      <x:c r="G79" s="23"/>
      <x:c r="H79" s="23"/>
      <x:c r="J79" s="27"/>
    </x:row>
    <x:row r="80">
      <x:c r="A80" s="15"/>
      <x:c r="C80" s="19"/>
      <x:c r="G80" s="23"/>
      <x:c r="H80" s="23"/>
      <x:c r="J80" s="27"/>
    </x:row>
    <x:row r="81">
      <x:c r="A81" s="15"/>
      <x:c r="C81" s="19"/>
      <x:c r="G81" s="23"/>
      <x:c r="H81" s="23"/>
      <x:c r="J81" s="27"/>
    </x:row>
    <x:row r="82">
      <x:c r="A82" s="15"/>
      <x:c r="C82" s="19"/>
      <x:c r="G82" s="23"/>
      <x:c r="H82" s="23"/>
      <x:c r="J82" s="27"/>
    </x:row>
    <x:row r="83">
      <x:c r="A83" s="15"/>
      <x:c r="C83" s="19"/>
      <x:c r="G83" s="23"/>
      <x:c r="H83" s="23"/>
      <x:c r="J83" s="27"/>
    </x:row>
    <x:row r="84">
      <x:c r="A84" s="15"/>
      <x:c r="C84" s="19"/>
      <x:c r="G84" s="23"/>
      <x:c r="H84" s="23"/>
      <x:c r="J84" s="27"/>
    </x:row>
    <x:row r="85">
      <x:c r="A85" s="15"/>
      <x:c r="C85" s="19"/>
      <x:c r="G85" s="23"/>
      <x:c r="H85" s="23"/>
      <x:c r="J85" s="27"/>
    </x:row>
    <x:row r="86">
      <x:c r="A86" s="15"/>
      <x:c r="C86" s="19"/>
      <x:c r="G86" s="23"/>
      <x:c r="H86" s="23"/>
      <x:c r="J86" s="27"/>
    </x:row>
    <x:row r="87">
      <x:c r="A87" s="15"/>
      <x:c r="C87" s="19"/>
      <x:c r="G87" s="23"/>
      <x:c r="H87" s="23"/>
      <x:c r="J87" s="27"/>
    </x:row>
    <x:row r="88">
      <x:c r="A88" s="15"/>
      <x:c r="C88" s="19"/>
      <x:c r="G88" s="23"/>
      <x:c r="H88" s="23"/>
      <x:c r="J88" s="27"/>
    </x:row>
    <x:row r="89">
      <x:c r="A89" s="15"/>
      <x:c r="C89" s="19"/>
      <x:c r="G89" s="23"/>
      <x:c r="H89" s="23"/>
      <x:c r="J89" s="27"/>
    </x:row>
    <x:row r="90">
      <x:c r="A90" s="15"/>
      <x:c r="C90" s="19"/>
      <x:c r="G90" s="23"/>
      <x:c r="H90" s="23"/>
      <x:c r="J90" s="27"/>
    </x:row>
    <x:row r="91">
      <x:c r="A91" s="15"/>
      <x:c r="C91" s="19"/>
      <x:c r="G91" s="23"/>
      <x:c r="H91" s="23"/>
      <x:c r="J91" s="27"/>
    </x:row>
    <x:row r="92">
      <x:c r="A92" s="15"/>
      <x:c r="C92" s="19"/>
      <x:c r="G92" s="23"/>
      <x:c r="H92" s="23"/>
      <x:c r="J92" s="27"/>
    </x:row>
    <x:row r="93">
      <x:c r="A93" s="15"/>
      <x:c r="C93" s="19"/>
      <x:c r="G93" s="23"/>
      <x:c r="H93" s="23"/>
      <x:c r="J93" s="27"/>
    </x:row>
    <x:row r="94">
      <x:c r="A94" s="15"/>
      <x:c r="C94" s="19"/>
      <x:c r="G94" s="23"/>
      <x:c r="H94" s="23"/>
      <x:c r="J94" s="27"/>
    </x:row>
    <x:row r="95">
      <x:c r="A95" s="15"/>
      <x:c r="C95" s="19"/>
      <x:c r="G95" s="23"/>
      <x:c r="H95" s="23"/>
      <x:c r="J95" s="27"/>
    </x:row>
    <x:row r="96">
      <x:c r="A96" s="15"/>
      <x:c r="C96" s="19"/>
      <x:c r="G96" s="23"/>
      <x:c r="H96" s="23"/>
      <x:c r="J96" s="27"/>
    </x:row>
    <x:row r="97">
      <x:c r="A97" s="15"/>
      <x:c r="C97" s="19"/>
      <x:c r="G97" s="23"/>
      <x:c r="H97" s="23"/>
      <x:c r="J97" s="27"/>
    </x:row>
    <x:row r="98">
      <x:c r="A98" s="15"/>
      <x:c r="C98" s="19"/>
      <x:c r="G98" s="23"/>
      <x:c r="H98" s="23"/>
      <x:c r="J98" s="27"/>
    </x:row>
    <x:row r="99">
      <x:c r="A99" s="15"/>
      <x:c r="C99" s="19"/>
      <x:c r="G99" s="23"/>
      <x:c r="H99" s="23"/>
      <x:c r="J99" s="27"/>
    </x:row>
    <x:row r="100">
      <x:c r="A100" s="15"/>
      <x:c r="C100" s="19"/>
      <x:c r="G100" s="23"/>
      <x:c r="H100" s="23"/>
      <x:c r="J100" s="27"/>
    </x:row>
    <x:row r="101">
      <x:c r="A101" s="15"/>
      <x:c r="C101" s="19"/>
      <x:c r="G101" s="23"/>
      <x:c r="H101" s="23"/>
      <x:c r="J101" s="27"/>
    </x:row>
    <x:row r="102">
      <x:c r="A102" s="15"/>
      <x:c r="C102" s="19"/>
      <x:c r="G102" s="23"/>
      <x:c r="H102" s="23"/>
      <x:c r="J102" s="27"/>
    </x:row>
    <x:row r="103">
      <x:c r="A103" s="15"/>
      <x:c r="C103" s="19"/>
      <x:c r="G103" s="23"/>
      <x:c r="H103" s="23"/>
      <x:c r="J103" s="27"/>
    </x:row>
    <x:row r="104">
      <x:c r="A104" s="15"/>
      <x:c r="C104" s="19"/>
      <x:c r="G104" s="23"/>
      <x:c r="H104" s="23"/>
      <x:c r="J104" s="27"/>
    </x:row>
    <x:row r="105">
      <x:c r="A105" s="15"/>
      <x:c r="C105" s="19"/>
      <x:c r="G105" s="23"/>
      <x:c r="H105" s="23"/>
      <x:c r="J105" s="27"/>
    </x:row>
    <x:row r="106">
      <x:c r="A106" s="15"/>
      <x:c r="C106" s="19"/>
      <x:c r="G106" s="23"/>
      <x:c r="H106" s="23"/>
      <x:c r="J106" s="27"/>
    </x:row>
    <x:row r="107">
      <x:c r="A107" s="15"/>
      <x:c r="C107" s="19"/>
      <x:c r="G107" s="23"/>
      <x:c r="H107" s="23"/>
      <x:c r="J107" s="27"/>
    </x:row>
    <x:row r="108">
      <x:c r="A108" s="15"/>
      <x:c r="C108" s="19"/>
      <x:c r="G108" s="23"/>
      <x:c r="H108" s="23"/>
      <x:c r="J108" s="27"/>
    </x:row>
    <x:row r="109">
      <x:c r="A109" s="15"/>
      <x:c r="C109" s="19"/>
      <x:c r="G109" s="23"/>
      <x:c r="H109" s="23"/>
      <x:c r="J109" s="27"/>
    </x:row>
    <x:row r="110">
      <x:c r="A110" s="15"/>
      <x:c r="C110" s="19"/>
      <x:c r="G110" s="23"/>
      <x:c r="H110" s="23"/>
      <x:c r="J110" s="27"/>
    </x:row>
    <x:row r="111">
      <x:c r="A111" s="15"/>
      <x:c r="C111" s="19"/>
      <x:c r="G111" s="23"/>
      <x:c r="H111" s="23"/>
      <x:c r="J111" s="27"/>
    </x:row>
    <x:row r="112">
      <x:c r="A112" s="15"/>
      <x:c r="C112" s="19"/>
      <x:c r="G112" s="23"/>
      <x:c r="H112" s="23"/>
      <x:c r="J112" s="27"/>
    </x:row>
    <x:row r="113">
      <x:c r="A113" s="15"/>
      <x:c r="C113" s="19"/>
      <x:c r="G113" s="23"/>
      <x:c r="H113" s="23"/>
      <x:c r="J113" s="27"/>
    </x:row>
    <x:row r="114">
      <x:c r="A114" s="15"/>
      <x:c r="C114" s="19"/>
      <x:c r="G114" s="23"/>
      <x:c r="H114" s="23"/>
      <x:c r="J114" s="27"/>
    </x:row>
    <x:row r="115">
      <x:c r="A115" s="15"/>
      <x:c r="C115" s="19"/>
      <x:c r="G115" s="23"/>
      <x:c r="H115" s="23"/>
      <x:c r="J115" s="27"/>
    </x:row>
    <x:row r="116">
      <x:c r="A116" s="15"/>
      <x:c r="C116" s="19"/>
      <x:c r="G116" s="23"/>
      <x:c r="H116" s="23"/>
      <x:c r="J116" s="27"/>
    </x:row>
    <x:row r="117">
      <x:c r="A117" s="15"/>
      <x:c r="C117" s="19"/>
      <x:c r="G117" s="23"/>
      <x:c r="H117" s="23"/>
      <x:c r="J117" s="27"/>
    </x:row>
    <x:row r="118">
      <x:c r="A118" s="15"/>
      <x:c r="C118" s="19"/>
      <x:c r="G118" s="23"/>
      <x:c r="H118" s="23"/>
      <x:c r="J118" s="27"/>
    </x:row>
    <x:row r="119">
      <x:c r="A119" s="15"/>
      <x:c r="C119" s="19"/>
      <x:c r="G119" s="23"/>
      <x:c r="H119" s="23"/>
      <x:c r="J119" s="27"/>
    </x:row>
    <x:row r="120">
      <x:c r="A120" s="15"/>
      <x:c r="C120" s="19"/>
      <x:c r="G120" s="23"/>
      <x:c r="H120" s="23"/>
      <x:c r="J120" s="27"/>
    </x:row>
    <x:row r="121">
      <x:c r="A121" s="15"/>
      <x:c r="C121" s="19"/>
      <x:c r="G121" s="23"/>
      <x:c r="H121" s="23"/>
      <x:c r="J121" s="27"/>
    </x:row>
    <x:row r="122">
      <x:c r="A122" s="15"/>
      <x:c r="C122" s="19"/>
      <x:c r="G122" s="23"/>
      <x:c r="H122" s="23"/>
      <x:c r="J122" s="27"/>
    </x:row>
    <x:row r="123">
      <x:c r="A123" s="15"/>
      <x:c r="C123" s="19"/>
      <x:c r="G123" s="23"/>
      <x:c r="H123" s="23"/>
      <x:c r="J123" s="27"/>
    </x:row>
    <x:row r="124">
      <x:c r="A124" s="15"/>
      <x:c r="C124" s="19"/>
      <x:c r="G124" s="23"/>
      <x:c r="H124" s="23"/>
      <x:c r="J124" s="27"/>
    </x:row>
    <x:row r="125">
      <x:c r="A125" s="15"/>
      <x:c r="C125" s="19"/>
      <x:c r="G125" s="23"/>
      <x:c r="H125" s="23"/>
      <x:c r="J125" s="27"/>
    </x:row>
    <x:row r="126">
      <x:c r="A126" s="15"/>
      <x:c r="C126" s="19"/>
      <x:c r="G126" s="23"/>
      <x:c r="H126" s="23"/>
      <x:c r="J126" s="27"/>
    </x:row>
    <x:row r="127">
      <x:c r="A127" s="15"/>
      <x:c r="C127" s="19"/>
      <x:c r="G127" s="23"/>
      <x:c r="H127" s="23"/>
      <x:c r="J127" s="27"/>
    </x:row>
    <x:row r="128">
      <x:c r="A128" s="15"/>
      <x:c r="C128" s="19"/>
      <x:c r="G128" s="23"/>
      <x:c r="H128" s="23"/>
      <x:c r="J128" s="27"/>
    </x:row>
    <x:row r="129">
      <x:c r="A129" s="15"/>
      <x:c r="C129" s="19"/>
      <x:c r="G129" s="23"/>
      <x:c r="H129" s="23"/>
      <x:c r="J129" s="27"/>
    </x:row>
    <x:row r="130">
      <x:c r="A130" s="15"/>
      <x:c r="C130" s="19"/>
      <x:c r="G130" s="23"/>
      <x:c r="H130" s="23"/>
      <x:c r="J130" s="27"/>
    </x:row>
    <x:row r="131">
      <x:c r="A131" s="15"/>
      <x:c r="C131" s="19"/>
      <x:c r="G131" s="23"/>
      <x:c r="H131" s="23"/>
      <x:c r="J131" s="27"/>
    </x:row>
    <x:row r="132">
      <x:c r="A132" s="15"/>
      <x:c r="C132" s="19"/>
      <x:c r="G132" s="23"/>
      <x:c r="H132" s="23"/>
      <x:c r="J132" s="27"/>
    </x:row>
    <x:row r="133">
      <x:c r="A133" s="15"/>
      <x:c r="C133" s="19"/>
      <x:c r="G133" s="23"/>
      <x:c r="H133" s="23"/>
      <x:c r="J133" s="27"/>
    </x:row>
    <x:row r="134">
      <x:c r="A134" s="15"/>
      <x:c r="C134" s="19"/>
      <x:c r="G134" s="23"/>
      <x:c r="H134" s="23"/>
      <x:c r="J134" s="27"/>
    </x:row>
    <x:row r="135">
      <x:c r="A135" s="15"/>
      <x:c r="C135" s="19"/>
      <x:c r="G135" s="23"/>
      <x:c r="H135" s="23"/>
      <x:c r="J135" s="27"/>
    </x:row>
    <x:row r="136">
      <x:c r="A136" s="15"/>
      <x:c r="C136" s="19"/>
      <x:c r="G136" s="23"/>
      <x:c r="H136" s="23"/>
      <x:c r="J136" s="27"/>
    </x:row>
    <x:row r="137">
      <x:c r="A137" s="15"/>
      <x:c r="C137" s="19"/>
      <x:c r="G137" s="23"/>
      <x:c r="H137" s="23"/>
      <x:c r="J137" s="27"/>
    </x:row>
    <x:row r="138">
      <x:c r="A138" s="15"/>
      <x:c r="C138" s="19"/>
      <x:c r="G138" s="23"/>
      <x:c r="H138" s="23"/>
      <x:c r="J138" s="27"/>
    </x:row>
    <x:row r="139">
      <x:c r="A139" s="15"/>
      <x:c r="C139" s="19"/>
      <x:c r="G139" s="23"/>
      <x:c r="H139" s="23"/>
      <x:c r="J139" s="27"/>
    </x:row>
    <x:row r="140">
      <x:c r="A140" s="15"/>
      <x:c r="C140" s="19"/>
      <x:c r="G140" s="23"/>
      <x:c r="H140" s="23"/>
      <x:c r="J140" s="27"/>
    </x:row>
    <x:row r="141">
      <x:c r="A141" s="15"/>
      <x:c r="C141" s="19"/>
      <x:c r="G141" s="23"/>
      <x:c r="H141" s="23"/>
      <x:c r="J141" s="27"/>
    </x:row>
    <x:row r="142">
      <x:c r="A142" s="15"/>
      <x:c r="C142" s="19"/>
      <x:c r="G142" s="23"/>
      <x:c r="H142" s="23"/>
      <x:c r="J142" s="27"/>
    </x:row>
    <x:row r="143">
      <x:c r="A143" s="15"/>
      <x:c r="C143" s="19"/>
      <x:c r="G143" s="23"/>
      <x:c r="H143" s="23"/>
      <x:c r="J143" s="27"/>
    </x:row>
    <x:row r="144">
      <x:c r="A144" s="15"/>
      <x:c r="C144" s="19"/>
      <x:c r="G144" s="23"/>
      <x:c r="H144" s="23"/>
      <x:c r="J144" s="27"/>
    </x:row>
    <x:row r="145">
      <x:c r="A145" s="15"/>
      <x:c r="C145" s="19"/>
      <x:c r="G145" s="23"/>
      <x:c r="H145" s="23"/>
      <x:c r="J145" s="27"/>
    </x:row>
    <x:row r="146">
      <x:c r="A146" s="15"/>
      <x:c r="C146" s="19"/>
      <x:c r="G146" s="23"/>
      <x:c r="H146" s="23"/>
      <x:c r="J146" s="27"/>
    </x:row>
    <x:row r="147">
      <x:c r="A147" s="15"/>
      <x:c r="C147" s="19"/>
      <x:c r="G147" s="23"/>
      <x:c r="H147" s="23"/>
      <x:c r="J147" s="27"/>
    </x:row>
    <x:row r="148">
      <x:c r="A148" s="15"/>
      <x:c r="C148" s="19"/>
      <x:c r="G148" s="23"/>
      <x:c r="H148" s="23"/>
      <x:c r="J148" s="27"/>
    </x:row>
    <x:row r="149">
      <x:c r="A149" s="15"/>
      <x:c r="C149" s="19"/>
      <x:c r="G149" s="23"/>
      <x:c r="H149" s="23"/>
      <x:c r="J149" s="27"/>
    </x:row>
    <x:row r="150">
      <x:c r="A150" s="15"/>
      <x:c r="C150" s="19"/>
      <x:c r="G150" s="23"/>
      <x:c r="H150" s="23"/>
      <x:c r="J150" s="27"/>
    </x:row>
    <x:row r="151">
      <x:c r="A151" s="15"/>
      <x:c r="C151" s="19"/>
      <x:c r="G151" s="23"/>
      <x:c r="H151" s="23"/>
      <x:c r="J151" s="27"/>
    </x:row>
    <x:row r="152">
      <x:c r="A152" s="15"/>
      <x:c r="C152" s="19"/>
      <x:c r="G152" s="23"/>
      <x:c r="H152" s="23"/>
      <x:c r="J152" s="27"/>
    </x:row>
    <x:row r="153">
      <x:c r="A153" s="15"/>
      <x:c r="C153" s="19"/>
      <x:c r="G153" s="23"/>
      <x:c r="H153" s="23"/>
      <x:c r="J153" s="27"/>
    </x:row>
    <x:row r="154">
      <x:c r="A154" s="15"/>
      <x:c r="C154" s="19"/>
      <x:c r="G154" s="23"/>
      <x:c r="H154" s="23"/>
      <x:c r="J154" s="27"/>
    </x:row>
    <x:row r="155">
      <x:c r="A155" s="15"/>
      <x:c r="C155" s="19"/>
      <x:c r="G155" s="23"/>
      <x:c r="H155" s="23"/>
      <x:c r="J155" s="27"/>
    </x:row>
    <x:row r="156">
      <x:c r="A156" s="15"/>
      <x:c r="C156" s="19"/>
      <x:c r="G156" s="23"/>
      <x:c r="H156" s="23"/>
      <x:c r="J156" s="27"/>
    </x:row>
    <x:row r="157">
      <x:c r="A157" s="15"/>
      <x:c r="C157" s="19"/>
      <x:c r="G157" s="23"/>
      <x:c r="H157" s="23"/>
      <x:c r="J157" s="27"/>
    </x:row>
    <x:row r="158">
      <x:c r="A158" s="15"/>
      <x:c r="C158" s="19"/>
      <x:c r="G158" s="23"/>
      <x:c r="H158" s="23"/>
      <x:c r="J158" s="27"/>
    </x:row>
    <x:row r="159">
      <x:c r="A159" s="15"/>
      <x:c r="C159" s="19"/>
      <x:c r="G159" s="23"/>
      <x:c r="H159" s="23"/>
      <x:c r="J159" s="27"/>
    </x:row>
    <x:row r="160">
      <x:c r="A160" s="15"/>
      <x:c r="C160" s="19"/>
      <x:c r="G160" s="23"/>
      <x:c r="H160" s="23"/>
      <x:c r="J160" s="27"/>
    </x:row>
    <x:row r="161">
      <x:c r="A161" s="15"/>
      <x:c r="C161" s="19"/>
      <x:c r="G161" s="23"/>
      <x:c r="H161" s="23"/>
      <x:c r="J161" s="27"/>
    </x:row>
    <x:row r="162">
      <x:c r="A162" s="15"/>
      <x:c r="C162" s="19"/>
      <x:c r="G162" s="23"/>
      <x:c r="H162" s="23"/>
      <x:c r="J162" s="27"/>
    </x:row>
    <x:row r="163">
      <x:c r="A163" s="15"/>
      <x:c r="C163" s="19"/>
      <x:c r="G163" s="23"/>
      <x:c r="H163" s="23"/>
      <x:c r="J163" s="27"/>
    </x:row>
    <x:row r="164">
      <x:c r="A164" s="15"/>
      <x:c r="C164" s="19"/>
      <x:c r="G164" s="23"/>
      <x:c r="H164" s="23"/>
      <x:c r="J164" s="27"/>
    </x:row>
    <x:row r="165">
      <x:c r="A165" s="15"/>
      <x:c r="C165" s="19"/>
      <x:c r="G165" s="23"/>
      <x:c r="H165" s="23"/>
      <x:c r="J165" s="27"/>
    </x:row>
    <x:row r="166">
      <x:c r="A166" s="15"/>
      <x:c r="C166" s="19"/>
      <x:c r="G166" s="23"/>
      <x:c r="H166" s="23"/>
      <x:c r="J166" s="27"/>
    </x:row>
    <x:row r="167">
      <x:c r="A167" s="15"/>
      <x:c r="C167" s="19"/>
      <x:c r="G167" s="23"/>
      <x:c r="H167" s="23"/>
      <x:c r="J167" s="27"/>
    </x:row>
    <x:row r="168">
      <x:c r="A168" s="15"/>
      <x:c r="C168" s="19"/>
      <x:c r="G168" s="23"/>
      <x:c r="H168" s="23"/>
      <x:c r="J168" s="27"/>
    </x:row>
    <x:row r="169">
      <x:c r="A169" s="15"/>
      <x:c r="C169" s="19"/>
      <x:c r="G169" s="23"/>
      <x:c r="H169" s="23"/>
      <x:c r="J169" s="27"/>
    </x:row>
    <x:row r="170">
      <x:c r="A170" s="15"/>
      <x:c r="C170" s="19"/>
      <x:c r="G170" s="23"/>
      <x:c r="H170" s="23"/>
      <x:c r="J170" s="27"/>
    </x:row>
    <x:row r="171">
      <x:c r="A171" s="15"/>
      <x:c r="C171" s="19"/>
      <x:c r="G171" s="23"/>
      <x:c r="H171" s="23"/>
      <x:c r="J171" s="27"/>
    </x:row>
    <x:row r="172">
      <x:c r="A172" s="15"/>
      <x:c r="C172" s="19"/>
      <x:c r="G172" s="23"/>
      <x:c r="H172" s="23"/>
      <x:c r="J172" s="27"/>
    </x:row>
    <x:row r="173">
      <x:c r="A173" s="15"/>
      <x:c r="C173" s="19"/>
      <x:c r="G173" s="23"/>
      <x:c r="H173" s="23"/>
      <x:c r="J173" s="27"/>
    </x:row>
    <x:row r="174">
      <x:c r="A174" s="15"/>
      <x:c r="C174" s="19"/>
      <x:c r="G174" s="23"/>
      <x:c r="H174" s="23"/>
      <x:c r="J174" s="27"/>
    </x:row>
    <x:row r="175">
      <x:c r="A175" s="15"/>
      <x:c r="C175" s="19"/>
      <x:c r="G175" s="23"/>
      <x:c r="H175" s="23"/>
      <x:c r="J175" s="27"/>
    </x:row>
    <x:row r="176">
      <x:c r="A176" s="15"/>
      <x:c r="C176" s="19"/>
      <x:c r="G176" s="23"/>
      <x:c r="H176" s="23"/>
      <x:c r="J176" s="27"/>
    </x:row>
    <x:row r="177">
      <x:c r="A177" s="15"/>
      <x:c r="C177" s="19"/>
      <x:c r="G177" s="23"/>
      <x:c r="H177" s="23"/>
      <x:c r="J177" s="27"/>
    </x:row>
    <x:row r="178">
      <x:c r="A178" s="15"/>
      <x:c r="C178" s="19"/>
      <x:c r="G178" s="23"/>
      <x:c r="H178" s="23"/>
      <x:c r="J178" s="27"/>
    </x:row>
    <x:row r="179">
      <x:c r="A179" s="15"/>
      <x:c r="C179" s="19"/>
      <x:c r="G179" s="23"/>
      <x:c r="H179" s="23"/>
      <x:c r="J179" s="27"/>
    </x:row>
    <x:row r="180">
      <x:c r="A180" s="15"/>
      <x:c r="C180" s="19"/>
      <x:c r="G180" s="23"/>
      <x:c r="H180" s="23"/>
      <x:c r="J180" s="27"/>
    </x:row>
    <x:row r="181">
      <x:c r="A181" s="15"/>
      <x:c r="C181" s="19"/>
      <x:c r="G181" s="23"/>
      <x:c r="H181" s="23"/>
      <x:c r="J181" s="27"/>
    </x:row>
    <x:row r="182">
      <x:c r="A182" s="15"/>
      <x:c r="C182" s="19"/>
      <x:c r="G182" s="23"/>
      <x:c r="H182" s="23"/>
      <x:c r="J182" s="27"/>
    </x:row>
    <x:row r="183">
      <x:c r="A183" s="15"/>
      <x:c r="C183" s="19"/>
      <x:c r="G183" s="23"/>
      <x:c r="H183" s="23"/>
      <x:c r="J183" s="27"/>
    </x:row>
    <x:row r="184">
      <x:c r="A184" s="15"/>
      <x:c r="C184" s="19"/>
      <x:c r="G184" s="23"/>
      <x:c r="H184" s="23"/>
      <x:c r="J184" s="27"/>
    </x:row>
    <x:row r="185">
      <x:c r="A185" s="15"/>
      <x:c r="C185" s="19"/>
      <x:c r="G185" s="23"/>
      <x:c r="H185" s="23"/>
      <x:c r="J185" s="27"/>
    </x:row>
    <x:row r="186">
      <x:c r="A186" s="15"/>
      <x:c r="C186" s="19"/>
      <x:c r="G186" s="23"/>
      <x:c r="H186" s="23"/>
      <x:c r="J186" s="27"/>
    </x:row>
    <x:row r="187">
      <x:c r="A187" s="15"/>
      <x:c r="C187" s="19"/>
      <x:c r="G187" s="23"/>
      <x:c r="H187" s="23"/>
      <x:c r="J187" s="27"/>
    </x:row>
    <x:row r="188">
      <x:c r="A188" s="15"/>
      <x:c r="C188" s="19"/>
      <x:c r="G188" s="23"/>
      <x:c r="H188" s="23"/>
      <x:c r="J188" s="27"/>
    </x:row>
    <x:row r="189">
      <x:c r="A189" s="15"/>
      <x:c r="C189" s="19"/>
      <x:c r="G189" s="23"/>
      <x:c r="H189" s="23"/>
      <x:c r="J189" s="27"/>
    </x:row>
    <x:row r="190">
      <x:c r="A190" s="15"/>
      <x:c r="C190" s="19"/>
      <x:c r="G190" s="23"/>
      <x:c r="H190" s="23"/>
      <x:c r="J190" s="27"/>
    </x:row>
    <x:row r="191">
      <x:c r="A191" s="15"/>
      <x:c r="C191" s="19"/>
      <x:c r="G191" s="23"/>
      <x:c r="H191" s="23"/>
      <x:c r="J191" s="27"/>
    </x:row>
    <x:row r="192">
      <x:c r="A192" s="15"/>
      <x:c r="C192" s="19"/>
      <x:c r="G192" s="23"/>
      <x:c r="H192" s="23"/>
      <x:c r="J192" s="27"/>
    </x:row>
    <x:row r="193">
      <x:c r="A193" s="15"/>
      <x:c r="C193" s="19"/>
      <x:c r="G193" s="23"/>
      <x:c r="H193" s="23"/>
      <x:c r="J193" s="27"/>
    </x:row>
    <x:row r="194">
      <x:c r="A194" s="15"/>
      <x:c r="C194" s="19"/>
      <x:c r="G194" s="23"/>
      <x:c r="H194" s="23"/>
      <x:c r="J194" s="27"/>
    </x:row>
    <x:row r="195">
      <x:c r="A195" s="15"/>
      <x:c r="C195" s="19"/>
      <x:c r="G195" s="23"/>
      <x:c r="H195" s="23"/>
      <x:c r="J195" s="27"/>
    </x:row>
    <x:row r="196">
      <x:c r="A196" s="15"/>
      <x:c r="C196" s="19"/>
      <x:c r="G196" s="23"/>
      <x:c r="H196" s="23"/>
      <x:c r="J196" s="27"/>
    </x:row>
    <x:row r="197">
      <x:c r="A197" s="15"/>
      <x:c r="C197" s="19"/>
      <x:c r="G197" s="23"/>
      <x:c r="H197" s="23"/>
      <x:c r="J197" s="27"/>
    </x:row>
    <x:row r="198">
      <x:c r="A198" s="15"/>
      <x:c r="C198" s="19"/>
      <x:c r="G198" s="23"/>
      <x:c r="H198" s="23"/>
      <x:c r="J198" s="27"/>
    </x:row>
    <x:row r="199">
      <x:c r="A199" s="15"/>
      <x:c r="C199" s="19"/>
      <x:c r="G199" s="23"/>
      <x:c r="H199" s="23"/>
      <x:c r="J199" s="27"/>
    </x:row>
    <x:row r="200">
      <x:c r="A200" s="15"/>
      <x:c r="C200" s="19"/>
      <x:c r="G200" s="23"/>
      <x:c r="H200" s="23"/>
      <x:c r="J200" s="27"/>
    </x:row>
  </x:sheetData>
  <x:conditionalFormatting sqref="B2:B200">
    <x:cfRule type="expression" dxfId="0" priority="1">
      <x:formula>B2="No"</x:formula>
    </x:cfRule>
    <x:cfRule type="expression" dxfId="1" priority="2">
      <x:formula>B2="Yes"</x:formula>
    </x:cfRule>
  </x:conditionalFormatting>
  <x:dataValidations count="4">
    <x:dataValidation type="list" sqref="B2:B200">
      <x:formula1>"Yes,No"</x:formula1>
    </x:dataValidation>
    <x:dataValidation type="list" sqref="D2:D200">
      <x:formula1>"Morning,Afternoon,Evening,Night"</x:formula1>
    </x:dataValidation>
    <x:dataValidation type="list" sqref="I2:I200">
      <x:formula1>"Walking,Running,Hunting,Crossing road,With pups,Carrying food,Appeared sick/injured,Other"</x:formula1>
    </x:dataValidation>
    <x:dataValidation type="list" sqref="N2:N200">
      <x:formula1>"Community report,Verified photo,Demo / community report,Pending community report"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08ed500553d44d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>
      <x:c r="A1" s="31" t="str">
        <x:v>Areas</x:v>
      </x:c>
      <x:c r="B1" s="31" t="str">
        <x:v>Times</x:v>
      </x:c>
      <x:c r="C1" s="31" t="str">
        <x:v>Behaviors</x:v>
      </x:c>
      <x:c r="D1" s="31" t="str">
        <x:v>Approval Status</x:v>
      </x:c>
    </x:row>
    <x:row r="2">
      <x:c r="A2" t="str">
        <x:v>Gaithersburg</x:v>
      </x:c>
      <x:c r="B2" t="str">
        <x:v>Morning</x:v>
      </x:c>
      <x:c r="C2" t="str">
        <x:v>Walking</x:v>
      </x:c>
      <x:c r="D2" t="str">
        <x:v>Yes</x:v>
      </x:c>
    </x:row>
    <x:row r="3">
      <x:c r="A3" t="str">
        <x:v>Germantown</x:v>
      </x:c>
      <x:c r="B3" t="str">
        <x:v>Afternoon</x:v>
      </x:c>
      <x:c r="C3" t="str">
        <x:v>Running</x:v>
      </x:c>
      <x:c r="D3" t="str">
        <x:v>No</x:v>
      </x:c>
    </x:row>
    <x:row r="4">
      <x:c r="A4" t="str">
        <x:v>Rockville</x:v>
      </x:c>
      <x:c r="B4" t="str">
        <x:v>Evening</x:v>
      </x:c>
      <x:c r="C4" t="str">
        <x:v>Hunting</x:v>
      </x:c>
      <x:c r="D4" t="str"/>
    </x:row>
    <x:row r="5">
      <x:c r="A5" t="str">
        <x:v>Silver Spring</x:v>
      </x:c>
      <x:c r="B5" t="str">
        <x:v>Night</x:v>
      </x:c>
      <x:c r="C5" t="str">
        <x:v>Crossing road</x:v>
      </x:c>
      <x:c r="D5" t="str"/>
    </x:row>
    <x:row r="6">
      <x:c r="A6" t="str">
        <x:v>Bethesda</x:v>
      </x:c>
      <x:c r="B6" t="str"/>
      <x:c r="C6" t="str">
        <x:v>With pups</x:v>
      </x:c>
      <x:c r="D6" t="str"/>
    </x:row>
    <x:row r="7">
      <x:c r="A7" t="str">
        <x:v>Potomac</x:v>
      </x:c>
      <x:c r="B7" t="str"/>
      <x:c r="C7" t="str">
        <x:v>Carrying food</x:v>
      </x:c>
      <x:c r="D7" t="str"/>
    </x:row>
    <x:row r="8">
      <x:c r="A8" t="str">
        <x:v>Olney</x:v>
      </x:c>
      <x:c r="B8" t="str"/>
      <x:c r="C8" t="str">
        <x:v>Appeared sick/injured</x:v>
      </x:c>
      <x:c r="D8" t="str"/>
    </x:row>
    <x:row r="9">
      <x:c r="A9" t="str">
        <x:v>Takoma Park</x:v>
      </x:c>
      <x:c r="B9" t="str"/>
      <x:c r="C9" t="str">
        <x:v>Other</x:v>
      </x:c>
      <x:c r="D9" t="str"/>
    </x:row>
    <x:row r="10">
      <x:c r="A10" t="str">
        <x:v>Wheaton</x:v>
      </x:c>
      <x:c r="B10" t="str"/>
      <x:c r="C10" t="str"/>
      <x:c r="D10" t="str"/>
    </x:row>
    <x:row r="11">
      <x:c r="A11" t="str">
        <x:v>Other</x:v>
      </x:c>
      <x:c r="B11" t="str"/>
      <x:c r="C11" t="str"/>
      <x:c r="D11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35" t="str">
        <x:v>MoCo Fox Watch — Live Database Dashboard</x:v>
      </x:c>
      <x:c r="B1" t="str"/>
      <x:c r="C1" t="str"/>
      <x:c r="D1" t="str"/>
      <x:c r="E1" t="str"/>
      <x:c r="F1" t="str"/>
      <x:c r="G1" t="str"/>
      <x:c r="H1" t="str"/>
    </x:row>
    <x:row r="3">
      <x:c r="A3" s="3" t="str">
        <x:v>Metric</x:v>
      </x:c>
      <x:c r="B3" s="3" t="str">
        <x:v>Value</x:v>
      </x:c>
    </x:row>
    <x:row r="4">
      <x:c r="A4" s="38" t="str">
        <x:v>Approved sightings</x:v>
      </x:c>
      <x:c r="B4" t="n">
        <x:f>COUNTIF(Sightings!B:B,"Yes")</x:f>
        <x:v>5</x:v>
      </x:c>
    </x:row>
    <x:row r="5">
      <x:c r="A5" s="38" t="str">
        <x:v>Pending reports</x:v>
      </x:c>
      <x:c r="B5" t="n">
        <x:f>COUNTIF(Sightings!B:B,"No")</x:f>
        <x:v>1</x:v>
      </x:c>
    </x:row>
    <x:row r="6">
      <x:c r="A6" s="38" t="str">
        <x:v>Unique areas</x:v>
      </x:c>
      <x:c r="B6" t="n">
        <x:f>COUNTA(UNIQUE(FILTER(Sightings!E:E,Sightings!E:E&lt;&gt;"Area",Sightings!E:E&lt;&gt;"")))</x:f>
        <x:v>1</x:v>
      </x:c>
    </x:row>
    <x:row r="7">
      <x:c r="A7" s="38" t="str">
        <x:v>Total foxes approved</x:v>
      </x:c>
      <x:c r="B7" t="n">
        <x:f>SUMIF(Sightings!B:B,"Yes",Sightings!J:J)</x:f>
        <x:v>7</x:v>
      </x:c>
    </x:row>
    <x:row r="8">
      <x:c r="A8" s="38" t="str">
        <x:v>Last updated</x:v>
      </x:c>
      <x:c r="B8" s="15" t="n">
        <x:f>NOW()</x:f>
        <x:v>46191</x:v>
      </x:c>
    </x:row>
    <x:row r="10">
      <x:c r="A10" s="41" t="str">
        <x:v>How to use this sheet</x:v>
      </x:c>
      <x:c r="B10" t="str"/>
      <x:c r="C10" t="str"/>
      <x:c r="D10" t="str"/>
      <x:c r="E10" t="str"/>
      <x:c r="F10" t="str"/>
      <x:c r="G10" t="str"/>
      <x:c r="H10" t="str"/>
    </x:row>
    <x:row r="11">
      <x:c r="A11" s="12" t="str">
        <x:v>1</x:v>
      </x:c>
      <x:c r="B11" s="12" t="str">
        <x:v>New community reports are added as Approved = No.</x:v>
      </x:c>
      <x:c r="C11" s="12" t="str"/>
      <x:c r="D11" s="12" t="str"/>
      <x:c r="E11" s="12" t="str"/>
      <x:c r="F11" s="12" t="str"/>
      <x:c r="G11" s="12" t="str"/>
      <x:c r="H11" s="12" t="str"/>
    </x:row>
    <x:row r="12">
      <x:c r="A12" s="12" t="str">
        <x:v>2</x:v>
      </x:c>
      <x:c r="B12" s="12" t="str">
        <x:v>Review each pending row for safety and accuracy.</x:v>
      </x:c>
      <x:c r="C12" s="12" t="str"/>
      <x:c r="D12" s="12" t="str"/>
      <x:c r="E12" s="12" t="str"/>
      <x:c r="F12" s="12" t="str"/>
      <x:c r="G12" s="12" t="str"/>
      <x:c r="H12" s="12" t="str"/>
    </x:row>
    <x:row r="13">
      <x:c r="A13" s="12" t="str">
        <x:v>3</x:v>
      </x:c>
      <x:c r="B13" s="12" t="str">
        <x:v>Change Approved to Yes only when it is safe to show publicly.</x:v>
      </x:c>
      <x:c r="C13" s="12" t="str"/>
      <x:c r="D13" s="12" t="str"/>
      <x:c r="E13" s="12" t="str"/>
      <x:c r="F13" s="12" t="str"/>
      <x:c r="G13" s="12" t="str"/>
      <x:c r="H13" s="12" t="str"/>
    </x:row>
    <x:row r="14">
      <x:c r="A14" s="12" t="str">
        <x:v>4</x:v>
      </x:c>
      <x:c r="B14" s="12" t="str">
        <x:v>Use approximate locations only; never publish dens or private addresses.</x:v>
      </x:c>
      <x:c r="C14" s="12" t="str"/>
      <x:c r="D14" s="12" t="str"/>
      <x:c r="E14" s="12" t="str"/>
      <x:c r="F14" s="12" t="str"/>
      <x:c r="G14" s="12" t="str"/>
      <x:c r="H14" s="12" t="str"/>
    </x:row>
    <x:row r="15">
      <x:c r="A15" s="12" t="str">
        <x:v>5</x:v>
      </x:c>
      <x:c r="B15" s="12" t="str">
        <x:v>Publish only the Sightings tab as CSV for the web map.</x:v>
      </x:c>
      <x:c r="C15" s="12" t="str"/>
      <x:c r="D15" s="12" t="str"/>
      <x:c r="E15" s="12" t="str"/>
      <x:c r="F15" s="12" t="str"/>
      <x:c r="G15" s="12" t="str"/>
      <x:c r="H15" s="12" t="str"/>
    </x:row>
    <x:row r="16">
      <x:c r="A16" s="12" t="str">
        <x:v>6</x:v>
      </x:c>
      <x:c r="B16" s="12" t="str">
        <x:v>Keep Reporter Email private; the map does not display it.</x:v>
      </x:c>
      <x:c r="C16" s="12" t="str"/>
      <x:c r="D16" s="12" t="str"/>
      <x:c r="E16" s="12" t="str"/>
      <x:c r="F16" s="12" t="str"/>
      <x:c r="G16" s="12" t="str"/>
      <x:c r="H16" s="12" t="str"/>
    </x:row>
  </x:sheetData>
  <x:mergeCells>
    <x:mergeCell ref="A1:H1"/>
    <x:mergeCell ref="A10:H10"/>
  </x:mergeCells>
  <x:pageMargins left="0.7" right="0.7" top="0.75" bottom="0.75" header="0.3" footer="0.3"/>
</x:worksheet>
</file>